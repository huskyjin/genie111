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C890B7-A576-4D12-A840-DA9210A2F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" sheetId="3" r:id="rId1"/>
  </sheets>
  <definedNames>
    <definedName name="_xlnm.Print_Area" localSheetId="0">APP!$B$6:$O$37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3" l="1"/>
  <c r="K38" i="3"/>
  <c r="L38" i="3"/>
  <c r="M38" i="3"/>
  <c r="J38" i="3"/>
  <c r="M37" i="3"/>
  <c r="L37" i="3"/>
  <c r="K37" i="3"/>
  <c r="J37" i="3"/>
  <c r="I37" i="3"/>
  <c r="N25" i="3"/>
  <c r="N15" i="3"/>
  <c r="N9" i="3"/>
  <c r="N8" i="3"/>
  <c r="N36" i="3" l="1"/>
  <c r="N37" i="3" s="1"/>
  <c r="O37" i="3" s="1"/>
</calcChain>
</file>

<file path=xl/sharedStrings.xml><?xml version="1.0" encoding="utf-8"?>
<sst xmlns="http://schemas.openxmlformats.org/spreadsheetml/2006/main" count="75" uniqueCount="73">
  <si>
    <t>로그인</t>
    <phoneticPr fontId="1" type="noConversion"/>
  </si>
  <si>
    <t>Remarks</t>
    <phoneticPr fontId="1" type="noConversion"/>
  </si>
  <si>
    <t>Functions</t>
    <phoneticPr fontId="1" type="noConversion"/>
  </si>
  <si>
    <t>화면ID</t>
    <phoneticPr fontId="6" type="noConversion"/>
  </si>
  <si>
    <t>Depth 4</t>
    <phoneticPr fontId="1" type="noConversion"/>
  </si>
  <si>
    <t>Depth 3</t>
    <phoneticPr fontId="1" type="noConversion"/>
  </si>
  <si>
    <t>Depth 2</t>
    <phoneticPr fontId="1" type="noConversion"/>
  </si>
  <si>
    <t>Depth1</t>
    <phoneticPr fontId="1" type="noConversion"/>
  </si>
  <si>
    <t>Information Architecture</t>
    <phoneticPr fontId="1" type="noConversion"/>
  </si>
  <si>
    <t>백화점 상품 안전선 관리 체계 구축 시스템</t>
    <phoneticPr fontId="6" type="noConversion"/>
  </si>
  <si>
    <t>작성일 : 2026.4.2</t>
    <phoneticPr fontId="1" type="noConversion"/>
  </si>
  <si>
    <t>상품 안전성 관리</t>
    <phoneticPr fontId="6" type="noConversion"/>
  </si>
  <si>
    <t>체크리스트</t>
    <phoneticPr fontId="6" type="noConversion"/>
  </si>
  <si>
    <t>제조사현장평가</t>
  </si>
  <si>
    <t>Buyer 평가</t>
    <phoneticPr fontId="6" type="noConversion"/>
  </si>
  <si>
    <t>제조사 현장 평가</t>
    <phoneticPr fontId="6" type="noConversion"/>
  </si>
  <si>
    <t>Buyer 평가</t>
    <phoneticPr fontId="6" type="noConversion"/>
  </si>
  <si>
    <t>업체 등록</t>
    <phoneticPr fontId="6" type="noConversion"/>
  </si>
  <si>
    <t>평가 등록</t>
    <phoneticPr fontId="6" type="noConversion"/>
  </si>
  <si>
    <t>분석 평가</t>
    <phoneticPr fontId="6" type="noConversion"/>
  </si>
  <si>
    <t>평가 현황</t>
    <phoneticPr fontId="6" type="noConversion"/>
  </si>
  <si>
    <t>백화점 Buyer 접근 권한 부여</t>
    <phoneticPr fontId="6" type="noConversion"/>
  </si>
  <si>
    <t>가입 정보 : 계열사(백화점), 점포(백화점 농산, 백화점 수산, 백화점 축산)</t>
    <phoneticPr fontId="6" type="noConversion"/>
  </si>
  <si>
    <t>Hi-Genie</t>
    <phoneticPr fontId="6" type="noConversion"/>
  </si>
  <si>
    <t>메인화면</t>
    <phoneticPr fontId="1" type="noConversion"/>
  </si>
  <si>
    <t>상품 안전성 관리(아이콘)</t>
    <phoneticPr fontId="6" type="noConversion"/>
  </si>
  <si>
    <t>항목 LIST</t>
    <phoneticPr fontId="6" type="noConversion"/>
  </si>
  <si>
    <t>⍰ 항목 설명(팝업)</t>
    <phoneticPr fontId="6" type="noConversion"/>
  </si>
  <si>
    <r>
      <t>항목별 평가</t>
    </r>
    <r>
      <rPr>
        <b/>
        <sz val="10"/>
        <color rgb="FF0000FF"/>
        <rFont val="맑은 고딕"/>
        <family val="3"/>
        <charset val="129"/>
        <scheme val="minor"/>
      </rPr>
      <t>(항목별 설명(⍰아이콘))</t>
    </r>
    <r>
      <rPr>
        <sz val="10"/>
        <color theme="1"/>
        <rFont val="맑은 고딕"/>
        <family val="3"/>
        <charset val="129"/>
        <scheme val="minor"/>
      </rPr>
      <t xml:space="preserve">
- 적합 / 부적합 선택,</t>
    </r>
    <r>
      <rPr>
        <sz val="10"/>
        <rFont val="맑은 고딕"/>
        <family val="3"/>
        <charset val="129"/>
        <scheme val="minor"/>
      </rPr>
      <t xml:space="preserve"> 선택 후 상세 내용 및 사진 추가</t>
    </r>
    <phoneticPr fontId="6" type="noConversion"/>
  </si>
  <si>
    <t>상세 내용 및 사진 추가(팝업)</t>
    <phoneticPr fontId="6" type="noConversion"/>
  </si>
  <si>
    <t>텍스트 입력
파일 (JPEG 등) 선택, 직접 촬영</t>
    <phoneticPr fontId="6" type="noConversion"/>
  </si>
  <si>
    <t>체크리스트 상세문항</t>
    <phoneticPr fontId="6" type="noConversion"/>
  </si>
  <si>
    <t>필수 항목 입력값 설정 (입력 없을 시 오류)
저장(임시저장)</t>
    <phoneticPr fontId="6" type="noConversion"/>
  </si>
  <si>
    <t>필수 / 선택 입력 항목 구분
항목별 등록 여부 조회</t>
    <phoneticPr fontId="6" type="noConversion"/>
  </si>
  <si>
    <t>항목별 간단한 설명 조회</t>
    <phoneticPr fontId="6" type="noConversion"/>
  </si>
  <si>
    <t>평가 LIST</t>
    <phoneticPr fontId="6" type="noConversion"/>
  </si>
  <si>
    <t>결과 조회</t>
    <phoneticPr fontId="6" type="noConversion"/>
  </si>
  <si>
    <t>사진(팝업)</t>
    <phoneticPr fontId="6" type="noConversion"/>
  </si>
  <si>
    <t>이메일 입력(팝업)</t>
    <phoneticPr fontId="6" type="noConversion"/>
  </si>
  <si>
    <t>등록 업체 LIST</t>
    <phoneticPr fontId="6" type="noConversion"/>
  </si>
  <si>
    <t>신규 등록</t>
    <phoneticPr fontId="6" type="noConversion"/>
  </si>
  <si>
    <t>등록 업체 검색 및 선택
- (노출값) Div., 업태, 업체명</t>
    <phoneticPr fontId="6" type="noConversion"/>
  </si>
  <si>
    <t>업체 정보 수정(팝업)</t>
    <phoneticPr fontId="6" type="noConversion"/>
  </si>
  <si>
    <t>등록된 업체 정보 수정 가능</t>
    <phoneticPr fontId="6" type="noConversion"/>
  </si>
  <si>
    <t>주소 기본 입력값
- 본인 로그인 계정 연동</t>
    <phoneticPr fontId="6" type="noConversion"/>
  </si>
  <si>
    <t>결과 발송 파일 양식(xls. 등)</t>
    <phoneticPr fontId="6" type="noConversion"/>
  </si>
  <si>
    <t>설정</t>
    <phoneticPr fontId="6" type="noConversion"/>
  </si>
  <si>
    <t>연구소 권한 기능</t>
    <phoneticPr fontId="6" type="noConversion"/>
  </si>
  <si>
    <t>업체 등록</t>
    <phoneticPr fontId="6" type="noConversion"/>
  </si>
  <si>
    <t>등록 업체 LIST</t>
    <phoneticPr fontId="6" type="noConversion"/>
  </si>
  <si>
    <t>등록 업체 검색 및 선택
- (노출값) Div., 업태, VHR유형, 업체명</t>
    <phoneticPr fontId="6" type="noConversion"/>
  </si>
  <si>
    <t>등록 업체 LIST(팝업)</t>
    <phoneticPr fontId="6" type="noConversion"/>
  </si>
  <si>
    <t>업체 프로필 입력값 조회
- (자동) 등록 일자, (필수 선택) Div., 업태, (입력) 업체명 등 
평가 등록 항목 조회
- 평가 결과(적합 / 부적합 여부)
- 항목별 세부 내용, 사진
- 총평
결과 발송</t>
    <phoneticPr fontId="6" type="noConversion"/>
  </si>
  <si>
    <t>백화점 소속 접근 권한(조회, 작성)</t>
    <phoneticPr fontId="6" type="noConversion"/>
  </si>
  <si>
    <t>개선 조치</t>
    <phoneticPr fontId="6" type="noConversion"/>
  </si>
  <si>
    <r>
      <t xml:space="preserve">업체 선택시 등록일자 생성
입력값 추가 기능
등록된 업체 정보 수정 가능
</t>
    </r>
    <r>
      <rPr>
        <b/>
        <sz val="10"/>
        <color theme="1"/>
        <rFont val="맑은 고딕"/>
        <family val="3"/>
        <charset val="129"/>
        <scheme val="minor"/>
      </rPr>
      <t xml:space="preserve">'OEM 업체 선택시 하위 작성 내용 나타남
</t>
    </r>
    <r>
      <rPr>
        <sz val="10"/>
        <color theme="1"/>
        <rFont val="맑은 고딕"/>
        <family val="3"/>
        <charset val="129"/>
        <scheme val="minor"/>
      </rPr>
      <t>저장(임시저장)</t>
    </r>
    <phoneticPr fontId="6" type="noConversion"/>
  </si>
  <si>
    <r>
      <t xml:space="preserve">(기본 자동, 수동 변경)
등록일자
(입력)
- 피점검자(담당자), 점검자, 기타
(선택)
</t>
    </r>
    <r>
      <rPr>
        <b/>
        <sz val="10"/>
        <color theme="1"/>
        <rFont val="맑은 고딕"/>
        <family val="3"/>
        <charset val="129"/>
        <scheme val="minor"/>
      </rPr>
      <t>☑OEM 업체</t>
    </r>
    <r>
      <rPr>
        <sz val="10"/>
        <color theme="1"/>
        <rFont val="맑은 고딕"/>
        <family val="3"/>
        <charset val="129"/>
        <scheme val="minor"/>
      </rPr>
      <t xml:space="preserve">
'업체 프로필 입력(필수값)
(기본 자동, 수동 변경)
등록일자
(선택)
- Div. : 농산, 수산, 축산, 조리, 그로서리
- 업태 : 제조가공업, 소분업 등
- VHR유형 : 각 유형별 품목 예시 제시(설정)
o VHR : 빵류, 00류
ㅇ HR : 00류, 00류
ㅇ R : 그 외
- 거래업체 : 등록 업체 LIST 중 선택
- 재점검여부 : 재점검 시 선택
(입력)
- 업체명, 주소, 영업인허가, 대표자명, 대표품목(식품유형), 매출액, 주요거래처, 근무인원, 인증여부, 피점검자(담당자), 점검자, 기타</t>
    </r>
    <phoneticPr fontId="6" type="noConversion"/>
  </si>
  <si>
    <r>
      <t xml:space="preserve">업체 프로필 입력(필수값)
(기본 자동, 수동 변경)
등록 일자
(선택)
- Div. : 농산, 수산, 축산, 조리, 그로서리
- 업태 : 제조가공업, 소분업 등
</t>
    </r>
    <r>
      <rPr>
        <b/>
        <sz val="10"/>
        <rFont val="맑은 고딕"/>
        <family val="3"/>
        <charset val="129"/>
        <scheme val="minor"/>
      </rPr>
      <t>- VHR유형 : 각 유형별 품목 예시 제시(설정)
o VHR : 빵류, 00등
ㅇ HR : 00류, 00류
ㅇ R : 그 외
- ☑️ Express : 긴급 요청건</t>
    </r>
    <r>
      <rPr>
        <sz val="10"/>
        <rFont val="맑은 고딕"/>
        <family val="3"/>
        <charset val="129"/>
        <scheme val="minor"/>
      </rPr>
      <t xml:space="preserve">
(입력)
'- 업체명, 주소, 영업인허가, 대표자명, 대표품목(식품유형), 매출액, 주요거래처, 근무인원, 인증여부, 담당Buyer, 기타</t>
    </r>
    <phoneticPr fontId="6" type="noConversion"/>
  </si>
  <si>
    <t>개발의견</t>
    <phoneticPr fontId="6" type="noConversion"/>
  </si>
  <si>
    <t>기존 회원가입신청 기능 활용 시 별도 공수x
회원정보가 구분되어야 할 경우 재협의</t>
    <phoneticPr fontId="6" type="noConversion"/>
  </si>
  <si>
    <t>공통</t>
    <phoneticPr fontId="6" type="noConversion"/>
  </si>
  <si>
    <t>일부 공통로직으로 
Buyer평가와 함께 진행될 경우 -30D</t>
    <phoneticPr fontId="6" type="noConversion"/>
  </si>
  <si>
    <t>기획</t>
    <phoneticPr fontId="6" type="noConversion"/>
  </si>
  <si>
    <t>디자인</t>
    <phoneticPr fontId="6" type="noConversion"/>
  </si>
  <si>
    <t>개발</t>
    <phoneticPr fontId="6" type="noConversion"/>
  </si>
  <si>
    <t>소계</t>
    <phoneticPr fontId="6" type="noConversion"/>
  </si>
  <si>
    <t>개발기간</t>
    <phoneticPr fontId="6" type="noConversion"/>
  </si>
  <si>
    <t>투입공수 (M/D)</t>
    <phoneticPr fontId="6" type="noConversion"/>
  </si>
  <si>
    <t>퍼블리싱</t>
    <phoneticPr fontId="6" type="noConversion"/>
  </si>
  <si>
    <t>App이 아니기 때문에 
푸시기능은 불가, 문자 또는 메일 발송 가능</t>
    <phoneticPr fontId="6" type="noConversion"/>
  </si>
  <si>
    <t>요구사항 분석
WSG 수립
개발환경설정 / 테스트 및 이관</t>
    <phoneticPr fontId="6" type="noConversion"/>
  </si>
  <si>
    <r>
      <rPr>
        <sz val="10"/>
        <color theme="0"/>
        <rFont val="맑은 고딕"/>
        <family val="3"/>
        <charset val="129"/>
        <scheme val="minor"/>
      </rPr>
      <t>평가 LIST 검색 기능</t>
    </r>
    <r>
      <rPr>
        <sz val="10"/>
        <color theme="1"/>
        <rFont val="맑은 고딕"/>
        <family val="3"/>
        <charset val="129"/>
        <scheme val="minor"/>
      </rPr>
      <t xml:space="preserve">
평가 내용 수정 가능</t>
    </r>
    <phoneticPr fontId="6" type="noConversion"/>
  </si>
  <si>
    <r>
      <t xml:space="preserve">입력값 고정, 추가 기능
저장(임시저장)
</t>
    </r>
    <r>
      <rPr>
        <b/>
        <sz val="10"/>
        <rFont val="맑은 고딕"/>
        <family val="3"/>
        <charset val="129"/>
        <scheme val="minor"/>
      </rPr>
      <t xml:space="preserve">푸시 기능(메일)
</t>
    </r>
    <r>
      <rPr>
        <sz val="10"/>
        <rFont val="맑은 고딕"/>
        <family val="3"/>
        <charset val="129"/>
        <scheme val="minor"/>
      </rPr>
      <t>1) VHR 선택 시: 연구소 권한 계정
2) Ex 선택 시: 연구소 권한 계정
Express: 월 최대 n건만 생성 가능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</si>
</sst>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41" fontId="16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7" fillId="0" borderId="0" xfId="1" quotePrefix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12" fillId="0" borderId="3" xfId="1" applyFont="1" applyBorder="1" applyAlignment="1">
      <alignment vertical="center"/>
    </xf>
    <xf numFmtId="0" fontId="5" fillId="0" borderId="3" xfId="1" applyFont="1" applyBorder="1" applyAlignment="1">
      <alignment horizontal="center" vertical="center"/>
    </xf>
    <xf numFmtId="0" fontId="12" fillId="0" borderId="3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quotePrefix="1" applyFont="1" applyBorder="1" applyAlignment="1">
      <alignment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vertical="top" wrapText="1"/>
    </xf>
    <xf numFmtId="0" fontId="10" fillId="0" borderId="3" xfId="1" applyFont="1" applyBorder="1" applyAlignment="1">
      <alignment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3" xfId="1" quotePrefix="1" applyFont="1" applyBorder="1" applyAlignment="1">
      <alignment vertical="center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vertical="center" wrapText="1"/>
    </xf>
    <xf numFmtId="0" fontId="4" fillId="0" borderId="5" xfId="1" applyFont="1" applyBorder="1" applyAlignment="1">
      <alignment horizontal="left" vertical="top" wrapText="1"/>
    </xf>
    <xf numFmtId="0" fontId="4" fillId="0" borderId="5" xfId="1" applyFont="1" applyBorder="1" applyAlignment="1">
      <alignment vertical="center" wrapText="1"/>
    </xf>
    <xf numFmtId="0" fontId="12" fillId="0" borderId="5" xfId="1" applyFont="1" applyBorder="1" applyAlignment="1">
      <alignment vertical="center" wrapText="1"/>
    </xf>
    <xf numFmtId="0" fontId="5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1" xfId="1" quotePrefix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top"/>
    </xf>
    <xf numFmtId="0" fontId="10" fillId="0" borderId="5" xfId="1" applyFont="1" applyBorder="1" applyAlignment="1">
      <alignment horizontal="center" vertical="center" wrapText="1"/>
    </xf>
    <xf numFmtId="0" fontId="4" fillId="0" borderId="5" xfId="1" quotePrefix="1" applyFont="1" applyBorder="1" applyAlignment="1">
      <alignment vertical="center" wrapText="1"/>
    </xf>
    <xf numFmtId="0" fontId="4" fillId="0" borderId="1" xfId="1" applyFont="1" applyBorder="1" applyAlignment="1">
      <alignment vertical="top" wrapText="1"/>
    </xf>
    <xf numFmtId="0" fontId="12" fillId="0" borderId="1" xfId="1" applyFont="1" applyBorder="1" applyAlignment="1">
      <alignment vertical="center" wrapText="1"/>
    </xf>
    <xf numFmtId="0" fontId="4" fillId="0" borderId="5" xfId="1" applyFont="1" applyBorder="1" applyAlignment="1">
      <alignment vertical="top" wrapText="1"/>
    </xf>
    <xf numFmtId="0" fontId="12" fillId="0" borderId="5" xfId="1" quotePrefix="1" applyFont="1" applyBorder="1" applyAlignment="1">
      <alignment vertical="top" wrapText="1"/>
    </xf>
    <xf numFmtId="0" fontId="4" fillId="0" borderId="3" xfId="1" applyFont="1" applyBorder="1" applyAlignment="1">
      <alignment vertical="center" wrapText="1"/>
    </xf>
    <xf numFmtId="0" fontId="4" fillId="0" borderId="10" xfId="1" applyFont="1" applyBorder="1" applyAlignment="1">
      <alignment horizontal="left" vertical="top" wrapText="1"/>
    </xf>
    <xf numFmtId="0" fontId="3" fillId="0" borderId="3" xfId="1" quotePrefix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3" fillId="0" borderId="12" xfId="1" quotePrefix="1" applyFont="1" applyBorder="1" applyAlignment="1">
      <alignment vertical="center" wrapText="1"/>
    </xf>
    <xf numFmtId="0" fontId="3" fillId="0" borderId="15" xfId="1" quotePrefix="1" applyFont="1" applyBorder="1" applyAlignment="1">
      <alignment vertical="center" wrapText="1"/>
    </xf>
    <xf numFmtId="0" fontId="4" fillId="0" borderId="14" xfId="1" quotePrefix="1" applyFont="1" applyBorder="1" applyAlignment="1">
      <alignment vertical="center" wrapText="1"/>
    </xf>
    <xf numFmtId="0" fontId="4" fillId="0" borderId="12" xfId="1" quotePrefix="1" applyFont="1" applyBorder="1" applyAlignment="1">
      <alignment vertical="center" wrapText="1"/>
    </xf>
    <xf numFmtId="0" fontId="9" fillId="0" borderId="15" xfId="1" quotePrefix="1" applyFont="1" applyBorder="1" applyAlignment="1">
      <alignment vertical="center" wrapText="1"/>
    </xf>
    <xf numFmtId="0" fontId="3" fillId="0" borderId="14" xfId="1" quotePrefix="1" applyFont="1" applyBorder="1" applyAlignment="1">
      <alignment vertical="center" wrapText="1"/>
    </xf>
    <xf numFmtId="0" fontId="4" fillId="0" borderId="15" xfId="1" quotePrefix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4" fillId="3" borderId="18" xfId="1" applyFont="1" applyFill="1" applyBorder="1" applyAlignment="1">
      <alignment vertical="center"/>
    </xf>
    <xf numFmtId="0" fontId="4" fillId="3" borderId="19" xfId="1" applyFont="1" applyFill="1" applyBorder="1" applyAlignment="1">
      <alignment vertical="center"/>
    </xf>
    <xf numFmtId="0" fontId="5" fillId="3" borderId="19" xfId="1" applyFont="1" applyFill="1" applyBorder="1" applyAlignment="1">
      <alignment vertical="center"/>
    </xf>
    <xf numFmtId="0" fontId="4" fillId="3" borderId="19" xfId="1" applyFont="1" applyFill="1" applyBorder="1" applyAlignment="1">
      <alignment vertical="center" wrapText="1"/>
    </xf>
    <xf numFmtId="0" fontId="4" fillId="3" borderId="20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4" fillId="0" borderId="6" xfId="1" applyFont="1" applyBorder="1" applyAlignment="1">
      <alignment vertical="top" wrapText="1"/>
    </xf>
    <xf numFmtId="0" fontId="4" fillId="0" borderId="5" xfId="1" applyFont="1" applyBorder="1" applyAlignment="1">
      <alignment vertical="center"/>
    </xf>
    <xf numFmtId="0" fontId="7" fillId="0" borderId="5" xfId="1" applyFont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4" fillId="0" borderId="5" xfId="1" quotePrefix="1" applyFont="1" applyBorder="1" applyAlignment="1">
      <alignment vertical="top" wrapText="1"/>
    </xf>
    <xf numFmtId="0" fontId="14" fillId="2" borderId="14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9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25" xfId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41" fontId="4" fillId="0" borderId="0" xfId="2" applyFont="1" applyAlignment="1">
      <alignment horizontal="center" vertical="center"/>
    </xf>
    <xf numFmtId="0" fontId="4" fillId="5" borderId="3" xfId="1" applyFont="1" applyFill="1" applyBorder="1" applyAlignment="1">
      <alignment horizontal="left" vertical="top"/>
    </xf>
    <xf numFmtId="0" fontId="4" fillId="5" borderId="5" xfId="1" applyFont="1" applyFill="1" applyBorder="1" applyAlignment="1">
      <alignment vertical="top"/>
    </xf>
    <xf numFmtId="0" fontId="15" fillId="0" borderId="1" xfId="1" applyFont="1" applyBorder="1" applyAlignment="1">
      <alignment vertical="center" wrapText="1"/>
    </xf>
    <xf numFmtId="0" fontId="15" fillId="0" borderId="5" xfId="1" applyFont="1" applyBorder="1" applyAlignment="1">
      <alignment vertical="center" wrapText="1"/>
    </xf>
    <xf numFmtId="0" fontId="3" fillId="5" borderId="3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4" xfId="1" applyFont="1" applyFill="1" applyBorder="1" applyAlignment="1">
      <alignment vertical="top" wrapText="1"/>
    </xf>
    <xf numFmtId="0" fontId="4" fillId="5" borderId="3" xfId="1" applyFont="1" applyFill="1" applyBorder="1" applyAlignment="1">
      <alignment horizontal="left" vertical="top" wrapText="1"/>
    </xf>
    <xf numFmtId="0" fontId="4" fillId="5" borderId="3" xfId="1" applyFont="1" applyFill="1" applyBorder="1" applyAlignment="1">
      <alignment vertical="top" wrapText="1"/>
    </xf>
    <xf numFmtId="0" fontId="12" fillId="5" borderId="1" xfId="1" applyFont="1" applyFill="1" applyBorder="1" applyAlignment="1">
      <alignment vertical="center" wrapText="1"/>
    </xf>
    <xf numFmtId="0" fontId="12" fillId="5" borderId="5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top" wrapText="1"/>
    </xf>
    <xf numFmtId="0" fontId="4" fillId="5" borderId="1" xfId="1" applyFont="1" applyFill="1" applyBorder="1" applyAlignment="1">
      <alignment vertical="top"/>
    </xf>
    <xf numFmtId="0" fontId="12" fillId="5" borderId="5" xfId="1" quotePrefix="1" applyFont="1" applyFill="1" applyBorder="1" applyAlignment="1">
      <alignment vertical="top" wrapText="1"/>
    </xf>
    <xf numFmtId="0" fontId="4" fillId="0" borderId="23" xfId="1" applyFont="1" applyBorder="1" applyAlignment="1">
      <alignment horizontal="center" vertical="center"/>
    </xf>
    <xf numFmtId="0" fontId="4" fillId="5" borderId="11" xfId="1" applyFont="1" applyFill="1" applyBorder="1" applyAlignment="1">
      <alignment horizontal="left" vertical="top" wrapText="1"/>
    </xf>
    <xf numFmtId="0" fontId="4" fillId="5" borderId="10" xfId="1" applyFont="1" applyFill="1" applyBorder="1" applyAlignment="1">
      <alignment horizontal="left" vertical="top" wrapText="1"/>
    </xf>
    <xf numFmtId="0" fontId="4" fillId="4" borderId="16" xfId="1" applyFont="1" applyFill="1" applyBorder="1" applyAlignment="1">
      <alignment horizontal="center" vertical="center"/>
    </xf>
    <xf numFmtId="0" fontId="4" fillId="0" borderId="33" xfId="1" applyFont="1" applyBorder="1" applyAlignment="1">
      <alignment horizontal="left" vertical="center" wrapText="1"/>
    </xf>
    <xf numFmtId="0" fontId="4" fillId="0" borderId="34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14" fillId="2" borderId="28" xfId="1" applyFont="1" applyFill="1" applyBorder="1" applyAlignment="1">
      <alignment horizontal="center" vertical="center" wrapText="1"/>
    </xf>
    <xf numFmtId="0" fontId="14" fillId="2" borderId="29" xfId="1" applyFont="1" applyFill="1" applyBorder="1" applyAlignment="1">
      <alignment horizontal="center" vertical="center" wrapText="1"/>
    </xf>
    <xf numFmtId="0" fontId="15" fillId="2" borderId="30" xfId="1" applyFont="1" applyFill="1" applyBorder="1" applyAlignment="1">
      <alignment horizontal="center" vertical="center"/>
    </xf>
    <xf numFmtId="0" fontId="15" fillId="2" borderId="31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4" xfId="1" applyFont="1" applyBorder="1" applyAlignment="1">
      <alignment horizontal="left" vertical="center" wrapText="1"/>
    </xf>
    <xf numFmtId="0" fontId="4" fillId="0" borderId="32" xfId="1" applyFont="1" applyBorder="1" applyAlignment="1">
      <alignment horizontal="left" vertical="center" wrapText="1"/>
    </xf>
    <xf numFmtId="0" fontId="14" fillId="2" borderId="26" xfId="1" applyFont="1" applyFill="1" applyBorder="1" applyAlignment="1">
      <alignment horizontal="center" vertical="center" wrapText="1"/>
    </xf>
    <xf numFmtId="0" fontId="14" fillId="2" borderId="27" xfId="1" applyFont="1" applyFill="1" applyBorder="1" applyAlignment="1">
      <alignment horizontal="center" vertical="center" wrapText="1"/>
    </xf>
  </cellXfs>
  <cellStyles count="3">
    <cellStyle name="쉼표 [0]" xfId="2" builtinId="6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725806</xdr:colOff>
      <xdr:row>7</xdr:row>
      <xdr:rowOff>53341</xdr:rowOff>
    </xdr:from>
    <xdr:to>
      <xdr:col>4</xdr:col>
      <xdr:colOff>1912619</xdr:colOff>
      <xdr:row>7</xdr:row>
      <xdr:rowOff>367665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67126" y="1455421"/>
          <a:ext cx="2383153" cy="314324"/>
        </a:xfrm>
        <a:prstGeom prst="rect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계열사 생성 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100" b="1">
              <a:solidFill>
                <a:sysClr val="windowText" lastClr="000000"/>
              </a:solidFill>
              <a:latin typeface="+mj-ea"/>
              <a:ea typeface="+mj-ea"/>
            </a:rPr>
            <a:t>백화점</a:t>
          </a:r>
          <a:r>
            <a:rPr lang="en-US" altLang="ko-KR" sz="1100" b="1">
              <a:solidFill>
                <a:sysClr val="windowText" lastClr="000000"/>
              </a:solidFill>
              <a:latin typeface="+mj-ea"/>
              <a:ea typeface="+mj-ea"/>
            </a:rPr>
            <a:t>(Buyer)</a:t>
          </a:r>
          <a:endParaRPr lang="ko-KR" altLang="en-US" sz="1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165192</xdr:colOff>
      <xdr:row>29</xdr:row>
      <xdr:rowOff>3469819</xdr:rowOff>
    </xdr:from>
    <xdr:to>
      <xdr:col>7</xdr:col>
      <xdr:colOff>2549434</xdr:colOff>
      <xdr:row>29</xdr:row>
      <xdr:rowOff>4463142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55656" y="14192248"/>
          <a:ext cx="2384242" cy="993323"/>
        </a:xfrm>
        <a:prstGeom prst="rect">
          <a:avLst/>
        </a:prstGeom>
        <a:solidFill>
          <a:schemeClr val="accent4"/>
        </a:solidFill>
        <a:ln w="285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1">
              <a:solidFill>
                <a:sysClr val="windowText" lastClr="000000"/>
              </a:solidFill>
              <a:latin typeface="+mj-ea"/>
              <a:ea typeface="+mj-ea"/>
            </a:rPr>
            <a:t>업체 정보 상세에 최하단 추가</a:t>
          </a:r>
          <a:endParaRPr lang="en-US" altLang="ko-KR" sz="12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200" b="1">
              <a:solidFill>
                <a:sysClr val="windowText" lastClr="000000"/>
              </a:solidFill>
              <a:latin typeface="+mj-ea"/>
              <a:ea typeface="+mj-ea"/>
            </a:rPr>
            <a:t>평가 등록 </a:t>
          </a:r>
          <a:r>
            <a:rPr lang="en-US" altLang="ko-KR" sz="1200" b="1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200" b="1">
              <a:solidFill>
                <a:sysClr val="windowText" lastClr="000000"/>
              </a:solidFill>
              <a:latin typeface="+mj-ea"/>
              <a:ea typeface="+mj-ea"/>
            </a:rPr>
            <a:t>파일 업로드</a:t>
          </a:r>
          <a:endParaRPr lang="en-US" altLang="ko-KR" sz="12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r>
            <a:rPr lang="ko-KR" altLang="en-US" sz="1200" b="1">
              <a:solidFill>
                <a:sysClr val="windowText" lastClr="000000"/>
              </a:solidFill>
              <a:latin typeface="+mj-ea"/>
              <a:ea typeface="+mj-ea"/>
            </a:rPr>
            <a:t>개선 조치 </a:t>
          </a:r>
          <a:r>
            <a:rPr lang="en-US" altLang="ko-KR" sz="1200" b="1">
              <a:solidFill>
                <a:sysClr val="windowText" lastClr="000000"/>
              </a:solidFill>
              <a:latin typeface="+mj-ea"/>
              <a:ea typeface="+mj-ea"/>
            </a:rPr>
            <a:t>: </a:t>
          </a:r>
          <a:r>
            <a:rPr lang="ko-KR" altLang="en-US" sz="1200" b="1">
              <a:solidFill>
                <a:sysClr val="windowText" lastClr="000000"/>
              </a:solidFill>
              <a:latin typeface="+mj-ea"/>
              <a:ea typeface="+mj-ea"/>
            </a:rPr>
            <a:t>파일 업로드</a:t>
          </a:r>
          <a:endParaRPr lang="en-US" altLang="ko-KR" sz="12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l"/>
          <a:endParaRPr lang="ko-KR" altLang="en-US" sz="1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9"/>
  <sheetViews>
    <sheetView tabSelected="1" zoomScale="70" zoomScaleNormal="70" workbookViewId="0">
      <selection activeCell="F15" sqref="F15"/>
    </sheetView>
  </sheetViews>
  <sheetFormatPr defaultColWidth="9" defaultRowHeight="13.5" x14ac:dyDescent="0.3"/>
  <cols>
    <col min="1" max="1" width="5.75" style="5" customWidth="1"/>
    <col min="2" max="2" width="15.75" style="5" customWidth="1"/>
    <col min="3" max="3" width="17.25" style="5" customWidth="1"/>
    <col min="4" max="4" width="15.75" style="5" customWidth="1"/>
    <col min="5" max="5" width="25.75" style="5" customWidth="1"/>
    <col min="6" max="6" width="10.75" style="8" customWidth="1"/>
    <col min="7" max="7" width="50.75" style="6" customWidth="1"/>
    <col min="8" max="8" width="40.75" style="6" customWidth="1"/>
    <col min="9" max="14" width="8.625" style="53" customWidth="1"/>
    <col min="15" max="15" width="41.375" style="53" customWidth="1"/>
    <col min="16" max="16384" width="9" style="5"/>
  </cols>
  <sheetData>
    <row r="2" spans="2:15" x14ac:dyDescent="0.3">
      <c r="B2" s="1" t="s">
        <v>8</v>
      </c>
      <c r="C2" s="1"/>
      <c r="F2" s="2"/>
      <c r="H2" s="7" t="s">
        <v>10</v>
      </c>
    </row>
    <row r="3" spans="2:15" x14ac:dyDescent="0.3">
      <c r="B3" s="3" t="s">
        <v>9</v>
      </c>
      <c r="C3" s="3"/>
      <c r="F3" s="2"/>
      <c r="H3" s="7"/>
    </row>
    <row r="4" spans="2:15" x14ac:dyDescent="0.3">
      <c r="B4" s="4"/>
      <c r="C4" s="3"/>
      <c r="F4" s="2"/>
      <c r="H4" s="7"/>
    </row>
    <row r="5" spans="2:15" ht="14.25" thickBot="1" x14ac:dyDescent="0.35">
      <c r="F5" s="2"/>
      <c r="I5" s="112"/>
      <c r="J5" s="112"/>
      <c r="K5" s="112"/>
      <c r="L5" s="112"/>
      <c r="M5" s="112"/>
      <c r="N5" s="112"/>
      <c r="O5" s="112"/>
    </row>
    <row r="6" spans="2:15" x14ac:dyDescent="0.3">
      <c r="B6" s="98" t="s">
        <v>7</v>
      </c>
      <c r="C6" s="100" t="s">
        <v>6</v>
      </c>
      <c r="D6" s="100" t="s">
        <v>5</v>
      </c>
      <c r="E6" s="100" t="s">
        <v>4</v>
      </c>
      <c r="F6" s="102" t="s">
        <v>3</v>
      </c>
      <c r="G6" s="104" t="s">
        <v>2</v>
      </c>
      <c r="H6" s="104" t="s">
        <v>1</v>
      </c>
      <c r="I6" s="115" t="s">
        <v>66</v>
      </c>
      <c r="J6" s="106" t="s">
        <v>67</v>
      </c>
      <c r="K6" s="107"/>
      <c r="L6" s="107"/>
      <c r="M6" s="107"/>
      <c r="N6" s="108"/>
      <c r="O6" s="109" t="s">
        <v>58</v>
      </c>
    </row>
    <row r="7" spans="2:15" ht="14.25" thickBot="1" x14ac:dyDescent="0.35">
      <c r="B7" s="99"/>
      <c r="C7" s="101"/>
      <c r="D7" s="101"/>
      <c r="E7" s="101"/>
      <c r="F7" s="103"/>
      <c r="G7" s="105"/>
      <c r="H7" s="105"/>
      <c r="I7" s="116"/>
      <c r="J7" s="66" t="s">
        <v>62</v>
      </c>
      <c r="K7" s="66" t="s">
        <v>63</v>
      </c>
      <c r="L7" s="66" t="s">
        <v>68</v>
      </c>
      <c r="M7" s="66" t="s">
        <v>64</v>
      </c>
      <c r="N7" s="66" t="s">
        <v>65</v>
      </c>
      <c r="O7" s="110"/>
    </row>
    <row r="8" spans="2:15" ht="27" x14ac:dyDescent="0.3">
      <c r="B8" s="61" t="s">
        <v>23</v>
      </c>
      <c r="C8" s="78" t="s">
        <v>0</v>
      </c>
      <c r="D8" s="62"/>
      <c r="E8" s="63"/>
      <c r="F8" s="64"/>
      <c r="G8" s="65" t="s">
        <v>21</v>
      </c>
      <c r="H8" s="52" t="s">
        <v>22</v>
      </c>
      <c r="I8" s="73">
        <v>0</v>
      </c>
      <c r="J8" s="69">
        <v>0</v>
      </c>
      <c r="K8" s="69">
        <v>0</v>
      </c>
      <c r="L8" s="69">
        <v>0</v>
      </c>
      <c r="M8" s="69">
        <v>0</v>
      </c>
      <c r="N8" s="71">
        <f>SUM(J8:M8)</f>
        <v>0</v>
      </c>
      <c r="O8" s="68" t="s">
        <v>59</v>
      </c>
    </row>
    <row r="9" spans="2:15" x14ac:dyDescent="0.3">
      <c r="B9" s="9" t="s">
        <v>24</v>
      </c>
      <c r="C9" s="77" t="s">
        <v>11</v>
      </c>
      <c r="D9" s="81" t="s">
        <v>14</v>
      </c>
      <c r="E9" s="10"/>
      <c r="F9" s="11"/>
      <c r="G9" s="12" t="s">
        <v>25</v>
      </c>
      <c r="H9" s="45" t="s">
        <v>53</v>
      </c>
      <c r="I9" s="94">
        <v>5</v>
      </c>
      <c r="J9" s="91">
        <v>3</v>
      </c>
      <c r="K9" s="91">
        <v>3</v>
      </c>
      <c r="L9" s="91">
        <v>3</v>
      </c>
      <c r="M9" s="91">
        <v>3</v>
      </c>
      <c r="N9" s="111">
        <f>SUM(J9:M14)</f>
        <v>12</v>
      </c>
      <c r="O9" s="95"/>
    </row>
    <row r="10" spans="2:15" x14ac:dyDescent="0.3">
      <c r="B10" s="13"/>
      <c r="C10" s="14"/>
      <c r="D10" s="82" t="s">
        <v>15</v>
      </c>
      <c r="E10" s="14"/>
      <c r="F10" s="15"/>
      <c r="G10" s="16"/>
      <c r="H10" s="46"/>
      <c r="I10" s="94"/>
      <c r="J10" s="91"/>
      <c r="K10" s="91"/>
      <c r="L10" s="91"/>
      <c r="M10" s="91"/>
      <c r="N10" s="111"/>
      <c r="O10" s="96"/>
    </row>
    <row r="11" spans="2:15" x14ac:dyDescent="0.3">
      <c r="B11" s="13"/>
      <c r="C11" s="14"/>
      <c r="D11" s="79" t="s">
        <v>19</v>
      </c>
      <c r="E11" s="14"/>
      <c r="F11" s="15"/>
      <c r="G11" s="16"/>
      <c r="H11" s="46"/>
      <c r="I11" s="94"/>
      <c r="J11" s="91"/>
      <c r="K11" s="91"/>
      <c r="L11" s="91"/>
      <c r="M11" s="91"/>
      <c r="N11" s="111"/>
      <c r="O11" s="96"/>
    </row>
    <row r="12" spans="2:15" x14ac:dyDescent="0.3">
      <c r="B12" s="13"/>
      <c r="C12" s="14"/>
      <c r="D12" s="79" t="s">
        <v>20</v>
      </c>
      <c r="E12" s="14"/>
      <c r="F12" s="15"/>
      <c r="G12" s="16"/>
      <c r="H12" s="46"/>
      <c r="I12" s="94"/>
      <c r="J12" s="91"/>
      <c r="K12" s="91"/>
      <c r="L12" s="91"/>
      <c r="M12" s="91"/>
      <c r="N12" s="111"/>
      <c r="O12" s="96"/>
    </row>
    <row r="13" spans="2:15" x14ac:dyDescent="0.3">
      <c r="B13" s="13"/>
      <c r="C13" s="14"/>
      <c r="D13" s="79" t="s">
        <v>54</v>
      </c>
      <c r="E13" s="14"/>
      <c r="F13" s="15"/>
      <c r="G13" s="16"/>
      <c r="H13" s="46"/>
      <c r="I13" s="94"/>
      <c r="J13" s="91"/>
      <c r="K13" s="91"/>
      <c r="L13" s="91"/>
      <c r="M13" s="91"/>
      <c r="N13" s="111"/>
      <c r="O13" s="96"/>
    </row>
    <row r="14" spans="2:15" x14ac:dyDescent="0.3">
      <c r="B14" s="17"/>
      <c r="C14" s="18"/>
      <c r="D14" s="80" t="s">
        <v>46</v>
      </c>
      <c r="E14" s="18"/>
      <c r="F14" s="19"/>
      <c r="G14" s="20"/>
      <c r="H14" s="47" t="s">
        <v>47</v>
      </c>
      <c r="I14" s="94"/>
      <c r="J14" s="91"/>
      <c r="K14" s="91"/>
      <c r="L14" s="91"/>
      <c r="M14" s="91"/>
      <c r="N14" s="111"/>
      <c r="O14" s="97"/>
    </row>
    <row r="15" spans="2:15" ht="123.6" customHeight="1" x14ac:dyDescent="0.3">
      <c r="B15" s="83" t="s">
        <v>16</v>
      </c>
      <c r="C15" s="84" t="s">
        <v>35</v>
      </c>
      <c r="D15" s="85" t="s">
        <v>36</v>
      </c>
      <c r="E15" s="23"/>
      <c r="F15" s="24"/>
      <c r="G15" s="25" t="s">
        <v>52</v>
      </c>
      <c r="H15" s="48" t="s">
        <v>71</v>
      </c>
      <c r="I15" s="94">
        <v>40</v>
      </c>
      <c r="J15" s="91">
        <v>8</v>
      </c>
      <c r="K15" s="91">
        <v>7</v>
      </c>
      <c r="L15" s="91">
        <v>10</v>
      </c>
      <c r="M15" s="91">
        <v>20</v>
      </c>
      <c r="N15" s="111">
        <f>SUM(J15:M24)</f>
        <v>45</v>
      </c>
      <c r="O15" s="95" t="s">
        <v>69</v>
      </c>
    </row>
    <row r="16" spans="2:15" x14ac:dyDescent="0.3">
      <c r="B16" s="13"/>
      <c r="C16" s="26"/>
      <c r="D16" s="38"/>
      <c r="E16" s="86" t="s">
        <v>37</v>
      </c>
      <c r="F16" s="34"/>
      <c r="G16" s="33"/>
      <c r="H16" s="49"/>
      <c r="I16" s="94"/>
      <c r="J16" s="91"/>
      <c r="K16" s="91"/>
      <c r="L16" s="91"/>
      <c r="M16" s="91"/>
      <c r="N16" s="111"/>
      <c r="O16" s="96"/>
    </row>
    <row r="17" spans="2:15" ht="27" x14ac:dyDescent="0.3">
      <c r="B17" s="13"/>
      <c r="C17" s="28"/>
      <c r="D17" s="40"/>
      <c r="E17" s="87" t="s">
        <v>38</v>
      </c>
      <c r="F17" s="31"/>
      <c r="G17" s="37" t="s">
        <v>44</v>
      </c>
      <c r="H17" s="50" t="s">
        <v>45</v>
      </c>
      <c r="I17" s="94"/>
      <c r="J17" s="91"/>
      <c r="K17" s="91"/>
      <c r="L17" s="91"/>
      <c r="M17" s="91"/>
      <c r="N17" s="111"/>
      <c r="O17" s="96"/>
    </row>
    <row r="18" spans="2:15" ht="255" customHeight="1" x14ac:dyDescent="0.3">
      <c r="B18" s="13"/>
      <c r="C18" s="84" t="s">
        <v>17</v>
      </c>
      <c r="D18" s="85" t="s">
        <v>40</v>
      </c>
      <c r="E18" s="12"/>
      <c r="F18" s="24"/>
      <c r="G18" s="44" t="s">
        <v>57</v>
      </c>
      <c r="H18" s="51" t="s">
        <v>72</v>
      </c>
      <c r="I18" s="94"/>
      <c r="J18" s="91"/>
      <c r="K18" s="91"/>
      <c r="L18" s="91"/>
      <c r="M18" s="91"/>
      <c r="N18" s="111"/>
      <c r="O18" s="96"/>
    </row>
    <row r="19" spans="2:15" ht="27" x14ac:dyDescent="0.3">
      <c r="B19" s="13"/>
      <c r="C19" s="26"/>
      <c r="D19" s="88" t="s">
        <v>39</v>
      </c>
      <c r="E19" s="38"/>
      <c r="F19" s="34"/>
      <c r="G19" s="33" t="s">
        <v>41</v>
      </c>
      <c r="H19" s="49"/>
      <c r="I19" s="94"/>
      <c r="J19" s="91"/>
      <c r="K19" s="91"/>
      <c r="L19" s="91"/>
      <c r="M19" s="91"/>
      <c r="N19" s="111"/>
      <c r="O19" s="96"/>
    </row>
    <row r="20" spans="2:15" x14ac:dyDescent="0.3">
      <c r="B20" s="13"/>
      <c r="C20" s="28"/>
      <c r="D20" s="40"/>
      <c r="E20" s="87" t="s">
        <v>42</v>
      </c>
      <c r="F20" s="31"/>
      <c r="G20" s="37"/>
      <c r="H20" s="52" t="s">
        <v>43</v>
      </c>
      <c r="I20" s="94"/>
      <c r="J20" s="91"/>
      <c r="K20" s="91"/>
      <c r="L20" s="91"/>
      <c r="M20" s="91"/>
      <c r="N20" s="111"/>
      <c r="O20" s="96"/>
    </row>
    <row r="21" spans="2:15" ht="27" x14ac:dyDescent="0.3">
      <c r="B21" s="43"/>
      <c r="C21" s="84" t="s">
        <v>18</v>
      </c>
      <c r="D21" s="84" t="s">
        <v>12</v>
      </c>
      <c r="E21" s="85" t="s">
        <v>26</v>
      </c>
      <c r="F21" s="24"/>
      <c r="G21" s="25" t="s">
        <v>33</v>
      </c>
      <c r="H21" s="48"/>
      <c r="I21" s="94"/>
      <c r="J21" s="91"/>
      <c r="K21" s="91"/>
      <c r="L21" s="91"/>
      <c r="M21" s="91"/>
      <c r="N21" s="111"/>
      <c r="O21" s="96"/>
    </row>
    <row r="22" spans="2:15" ht="27" x14ac:dyDescent="0.3">
      <c r="B22" s="43"/>
      <c r="C22" s="26"/>
      <c r="D22" s="26"/>
      <c r="E22" s="89" t="s">
        <v>31</v>
      </c>
      <c r="F22" s="32"/>
      <c r="G22" s="27" t="s">
        <v>28</v>
      </c>
      <c r="H22" s="49" t="s">
        <v>32</v>
      </c>
      <c r="I22" s="94"/>
      <c r="J22" s="91"/>
      <c r="K22" s="91"/>
      <c r="L22" s="91"/>
      <c r="M22" s="91"/>
      <c r="N22" s="111"/>
      <c r="O22" s="96"/>
    </row>
    <row r="23" spans="2:15" ht="27" x14ac:dyDescent="0.3">
      <c r="B23" s="43"/>
      <c r="C23" s="26"/>
      <c r="D23" s="26"/>
      <c r="E23" s="86" t="s">
        <v>29</v>
      </c>
      <c r="F23" s="34"/>
      <c r="G23" s="33" t="s">
        <v>30</v>
      </c>
      <c r="H23" s="49"/>
      <c r="I23" s="94"/>
      <c r="J23" s="91"/>
      <c r="K23" s="91"/>
      <c r="L23" s="91"/>
      <c r="M23" s="91"/>
      <c r="N23" s="111"/>
      <c r="O23" s="96"/>
    </row>
    <row r="24" spans="2:15" x14ac:dyDescent="0.3">
      <c r="B24" s="43"/>
      <c r="C24" s="28"/>
      <c r="D24" s="28"/>
      <c r="E24" s="90" t="s">
        <v>27</v>
      </c>
      <c r="F24" s="36"/>
      <c r="G24" s="37" t="s">
        <v>34</v>
      </c>
      <c r="H24" s="52"/>
      <c r="I24" s="94"/>
      <c r="J24" s="91"/>
      <c r="K24" s="91"/>
      <c r="L24" s="91"/>
      <c r="M24" s="91"/>
      <c r="N24" s="111"/>
      <c r="O24" s="97"/>
    </row>
    <row r="25" spans="2:15" x14ac:dyDescent="0.3">
      <c r="B25" s="92" t="s">
        <v>13</v>
      </c>
      <c r="C25" s="21"/>
      <c r="D25" s="22"/>
      <c r="E25" s="42"/>
      <c r="F25" s="24"/>
      <c r="G25" s="25"/>
      <c r="H25" s="48"/>
      <c r="I25" s="94">
        <v>25</v>
      </c>
      <c r="J25" s="91">
        <v>7</v>
      </c>
      <c r="K25" s="91">
        <v>5</v>
      </c>
      <c r="L25" s="91">
        <v>5</v>
      </c>
      <c r="M25" s="91">
        <v>15</v>
      </c>
      <c r="N25" s="111">
        <f>SUM(J25:M35)</f>
        <v>32</v>
      </c>
      <c r="O25" s="95" t="s">
        <v>61</v>
      </c>
    </row>
    <row r="26" spans="2:15" x14ac:dyDescent="0.3">
      <c r="B26" s="93"/>
      <c r="C26" s="26"/>
      <c r="D26" s="38"/>
      <c r="E26" s="39"/>
      <c r="F26" s="34"/>
      <c r="G26" s="33"/>
      <c r="H26" s="49"/>
      <c r="I26" s="94"/>
      <c r="J26" s="91"/>
      <c r="K26" s="91"/>
      <c r="L26" s="91"/>
      <c r="M26" s="91"/>
      <c r="N26" s="111"/>
      <c r="O26" s="113"/>
    </row>
    <row r="27" spans="2:15" x14ac:dyDescent="0.3">
      <c r="B27" s="93"/>
      <c r="C27" s="26"/>
      <c r="D27" s="38"/>
      <c r="E27" s="39"/>
      <c r="F27" s="34"/>
      <c r="G27" s="33"/>
      <c r="H27" s="49"/>
      <c r="I27" s="94"/>
      <c r="J27" s="91"/>
      <c r="K27" s="91"/>
      <c r="L27" s="91"/>
      <c r="M27" s="91"/>
      <c r="N27" s="111"/>
      <c r="O27" s="113"/>
    </row>
    <row r="28" spans="2:15" x14ac:dyDescent="0.3">
      <c r="B28" s="93"/>
      <c r="C28" s="28"/>
      <c r="D28" s="29"/>
      <c r="E28" s="30"/>
      <c r="F28" s="31"/>
      <c r="G28" s="37"/>
      <c r="H28" s="52"/>
      <c r="I28" s="94"/>
      <c r="J28" s="91"/>
      <c r="K28" s="91"/>
      <c r="L28" s="91"/>
      <c r="M28" s="91"/>
      <c r="N28" s="111"/>
      <c r="O28" s="113"/>
    </row>
    <row r="29" spans="2:15" ht="27" x14ac:dyDescent="0.3">
      <c r="B29" s="93"/>
      <c r="C29" s="84" t="s">
        <v>48</v>
      </c>
      <c r="D29" s="85" t="s">
        <v>49</v>
      </c>
      <c r="E29" s="22"/>
      <c r="F29" s="24"/>
      <c r="G29" s="25" t="s">
        <v>50</v>
      </c>
      <c r="H29" s="48"/>
      <c r="I29" s="94"/>
      <c r="J29" s="91"/>
      <c r="K29" s="91"/>
      <c r="L29" s="91"/>
      <c r="M29" s="91"/>
      <c r="N29" s="111"/>
      <c r="O29" s="113"/>
    </row>
    <row r="30" spans="2:15" ht="359.45" customHeight="1" x14ac:dyDescent="0.3">
      <c r="B30" s="93"/>
      <c r="C30" s="26"/>
      <c r="D30" s="38"/>
      <c r="E30" s="86" t="s">
        <v>42</v>
      </c>
      <c r="F30" s="34"/>
      <c r="G30" s="33" t="s">
        <v>56</v>
      </c>
      <c r="H30" s="49" t="s">
        <v>55</v>
      </c>
      <c r="I30" s="94"/>
      <c r="J30" s="91"/>
      <c r="K30" s="91"/>
      <c r="L30" s="91"/>
      <c r="M30" s="91"/>
      <c r="N30" s="111"/>
      <c r="O30" s="113"/>
    </row>
    <row r="31" spans="2:15" ht="27" x14ac:dyDescent="0.3">
      <c r="B31" s="93"/>
      <c r="C31" s="28"/>
      <c r="D31" s="29"/>
      <c r="E31" s="87" t="s">
        <v>51</v>
      </c>
      <c r="F31" s="31"/>
      <c r="G31" s="37" t="s">
        <v>50</v>
      </c>
      <c r="H31" s="52"/>
      <c r="I31" s="94"/>
      <c r="J31" s="91"/>
      <c r="K31" s="91"/>
      <c r="L31" s="91"/>
      <c r="M31" s="91"/>
      <c r="N31" s="111"/>
      <c r="O31" s="113"/>
    </row>
    <row r="32" spans="2:15" x14ac:dyDescent="0.3">
      <c r="B32" s="93"/>
      <c r="C32" s="21"/>
      <c r="D32" s="21"/>
      <c r="E32" s="22"/>
      <c r="F32" s="24"/>
      <c r="G32" s="25"/>
      <c r="H32" s="48"/>
      <c r="I32" s="94"/>
      <c r="J32" s="91"/>
      <c r="K32" s="91"/>
      <c r="L32" s="91"/>
      <c r="M32" s="91"/>
      <c r="N32" s="111"/>
      <c r="O32" s="113"/>
    </row>
    <row r="33" spans="2:15" x14ac:dyDescent="0.3">
      <c r="B33" s="93"/>
      <c r="C33" s="26"/>
      <c r="D33" s="26"/>
      <c r="E33" s="35"/>
      <c r="F33" s="32"/>
      <c r="G33" s="27"/>
      <c r="H33" s="49"/>
      <c r="I33" s="94"/>
      <c r="J33" s="91"/>
      <c r="K33" s="91"/>
      <c r="L33" s="91"/>
      <c r="M33" s="91"/>
      <c r="N33" s="111"/>
      <c r="O33" s="113"/>
    </row>
    <row r="34" spans="2:15" x14ac:dyDescent="0.3">
      <c r="B34" s="93"/>
      <c r="C34" s="26"/>
      <c r="D34" s="26"/>
      <c r="E34" s="39"/>
      <c r="F34" s="34"/>
      <c r="G34" s="33"/>
      <c r="H34" s="49"/>
      <c r="I34" s="94"/>
      <c r="J34" s="91"/>
      <c r="K34" s="91"/>
      <c r="L34" s="91"/>
      <c r="M34" s="91"/>
      <c r="N34" s="111"/>
      <c r="O34" s="113"/>
    </row>
    <row r="35" spans="2:15" ht="15" customHeight="1" thickBot="1" x14ac:dyDescent="0.35">
      <c r="B35" s="93"/>
      <c r="C35" s="28"/>
      <c r="D35" s="28"/>
      <c r="E35" s="41"/>
      <c r="F35" s="36"/>
      <c r="G35" s="37"/>
      <c r="H35" s="52"/>
      <c r="I35" s="94"/>
      <c r="J35" s="91"/>
      <c r="K35" s="91"/>
      <c r="L35" s="91"/>
      <c r="M35" s="91"/>
      <c r="N35" s="111"/>
      <c r="O35" s="114"/>
    </row>
    <row r="36" spans="2:15" ht="41.25" thickBot="1" x14ac:dyDescent="0.35">
      <c r="B36" s="54" t="s">
        <v>60</v>
      </c>
      <c r="C36" s="55"/>
      <c r="D36" s="55"/>
      <c r="E36" s="55"/>
      <c r="F36" s="56"/>
      <c r="G36" s="57" t="s">
        <v>70</v>
      </c>
      <c r="H36" s="59"/>
      <c r="I36" s="74">
        <v>10</v>
      </c>
      <c r="J36" s="67">
        <v>10</v>
      </c>
      <c r="K36" s="70">
        <v>10</v>
      </c>
      <c r="L36" s="70">
        <v>10</v>
      </c>
      <c r="M36" s="70">
        <v>10</v>
      </c>
      <c r="N36" s="72">
        <f>SUM(J36:M36)</f>
        <v>40</v>
      </c>
      <c r="O36" s="58"/>
    </row>
    <row r="37" spans="2:15" x14ac:dyDescent="0.3">
      <c r="G37" s="5"/>
      <c r="H37" s="5"/>
      <c r="I37" s="60">
        <f>SUM(I8:I36)</f>
        <v>80</v>
      </c>
      <c r="J37" s="60">
        <f t="shared" ref="J37:M37" si="0">SUM(J8:J36)</f>
        <v>28</v>
      </c>
      <c r="K37" s="60">
        <f t="shared" si="0"/>
        <v>25</v>
      </c>
      <c r="L37" s="60">
        <f t="shared" si="0"/>
        <v>28</v>
      </c>
      <c r="M37" s="60">
        <f t="shared" si="0"/>
        <v>48</v>
      </c>
      <c r="N37" s="60">
        <f>SUM(N8:N36)</f>
        <v>129</v>
      </c>
      <c r="O37" s="76">
        <f>(N37/21)*8000000</f>
        <v>49142857.142857149</v>
      </c>
    </row>
    <row r="38" spans="2:15" x14ac:dyDescent="0.3">
      <c r="G38" s="5"/>
      <c r="I38" s="75"/>
      <c r="J38" s="53">
        <f>J37/22</f>
        <v>1.2727272727272727</v>
      </c>
      <c r="K38" s="53">
        <f t="shared" ref="K38:N38" si="1">K37/22</f>
        <v>1.1363636363636365</v>
      </c>
      <c r="L38" s="53">
        <f t="shared" si="1"/>
        <v>1.2727272727272727</v>
      </c>
      <c r="M38" s="53">
        <f t="shared" si="1"/>
        <v>2.1818181818181817</v>
      </c>
      <c r="N38" s="53">
        <f t="shared" si="1"/>
        <v>5.8636363636363633</v>
      </c>
      <c r="O38" s="76"/>
    </row>
    <row r="39" spans="2:15" x14ac:dyDescent="0.3">
      <c r="N39" s="76"/>
    </row>
  </sheetData>
  <mergeCells count="33">
    <mergeCell ref="L25:L35"/>
    <mergeCell ref="N15:N24"/>
    <mergeCell ref="I5:O5"/>
    <mergeCell ref="I15:I24"/>
    <mergeCell ref="O15:O24"/>
    <mergeCell ref="I25:I35"/>
    <mergeCell ref="O25:O35"/>
    <mergeCell ref="N9:N14"/>
    <mergeCell ref="J15:J24"/>
    <mergeCell ref="K15:K24"/>
    <mergeCell ref="J25:J35"/>
    <mergeCell ref="K25:K35"/>
    <mergeCell ref="M25:M35"/>
    <mergeCell ref="N25:N35"/>
    <mergeCell ref="I6:I7"/>
    <mergeCell ref="L9:L14"/>
    <mergeCell ref="L15:L24"/>
    <mergeCell ref="M15:M24"/>
    <mergeCell ref="B25:B35"/>
    <mergeCell ref="I9:I14"/>
    <mergeCell ref="O9:O14"/>
    <mergeCell ref="B6:B7"/>
    <mergeCell ref="C6:C7"/>
    <mergeCell ref="D6:D7"/>
    <mergeCell ref="E6:E7"/>
    <mergeCell ref="F6:F7"/>
    <mergeCell ref="G6:G7"/>
    <mergeCell ref="H6:H7"/>
    <mergeCell ref="J6:N6"/>
    <mergeCell ref="O6:O7"/>
    <mergeCell ref="J9:J14"/>
    <mergeCell ref="K9:K14"/>
    <mergeCell ref="M9:M14"/>
  </mergeCells>
  <phoneticPr fontId="6" type="noConversion"/>
  <pageMargins left="0.25" right="0.25" top="0.31" bottom="0.23" header="0.3" footer="0.3"/>
  <pageSetup paperSize="9" scale="48" fitToHeight="0" orientation="landscape" r:id="rId1"/>
  <ignoredErrors>
    <ignoredError sqref="N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APP</vt:lpstr>
      <vt:lpstr>APP!Print_Area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dongyun</dc:creator>
  <cp:lastModifiedBy>해민 전</cp:lastModifiedBy>
  <cp:lastPrinted>2026-05-27T11:20:14Z</cp:lastPrinted>
  <dcterms:created xsi:type="dcterms:W3CDTF">2018-09-18T09:26:58Z</dcterms:created>
  <dcterms:modified xsi:type="dcterms:W3CDTF">2026-06-25T06:44:28Z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